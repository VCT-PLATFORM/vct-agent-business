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_COA" sheetId="1" r:id="rId5"/>
    <sheet state="visible" name="Setup_Contact" sheetId="2" r:id="rId6"/>
    <sheet state="visible" name="Setup_Project" sheetId="3" r:id="rId7"/>
    <sheet state="visible" name="Journal_Entries" sheetId="4" r:id="rId8"/>
    <sheet state="visible" name="Budget_Plan" sheetId="5" r:id="rId9"/>
    <sheet state="visible" name="Recon_Bank" sheetId="6" r:id="rId10"/>
  </sheets>
  <definedNames>
    <definedName hidden="1" localSheetId="3" name="_xlnm._FilterDatabase">Journal_Entries!$A$1:$O$12</definedName>
  </definedNames>
  <calcPr/>
</workbook>
</file>

<file path=xl/sharedStrings.xml><?xml version="1.0" encoding="utf-8"?>
<sst xmlns="http://schemas.openxmlformats.org/spreadsheetml/2006/main" count="217" uniqueCount="126">
  <si>
    <t>Mã_TK</t>
  </si>
  <si>
    <t>Tên_Tài_Khoản</t>
  </si>
  <si>
    <t>Nhóm_Cha</t>
  </si>
  <si>
    <t>Loại_Dòng_Tiền</t>
  </si>
  <si>
    <t>Số_Tài_Khoản</t>
  </si>
  <si>
    <t>Tiền mặt</t>
  </si>
  <si>
    <t>Tài sản</t>
  </si>
  <si>
    <t>HĐ Kinh doanh</t>
  </si>
  <si>
    <t>NH Techcombank - CONG TY TNHH VCT PLATFORM</t>
  </si>
  <si>
    <t>TCB: 99869988</t>
  </si>
  <si>
    <t>NH Techcombank - HOANG BA TUNG - 8899869988</t>
  </si>
  <si>
    <t>TCB: 8899869988</t>
  </si>
  <si>
    <t>NH Techcombank - HOANG BA TUNG - 6899869988</t>
  </si>
  <si>
    <t>TCB: 6899869988</t>
  </si>
  <si>
    <t>NH Vietcombank - HOANG BA TUNG</t>
  </si>
  <si>
    <t>VCB: 0511000428875</t>
  </si>
  <si>
    <t>Phải thu khách hàng</t>
  </si>
  <si>
    <t>Tạm ứng nhân viên</t>
  </si>
  <si>
    <t>Tài sản cố định (Máy móc, Server)</t>
  </si>
  <si>
    <t>HĐ Đầu tư</t>
  </si>
  <si>
    <t>Chi phí trả trước (Tên miền, Thuê VP)</t>
  </si>
  <si>
    <t>Phải trả người bán</t>
  </si>
  <si>
    <t>Nguồn vốn</t>
  </si>
  <si>
    <t>Thuế và các khoản nộp NN</t>
  </si>
  <si>
    <t>Phải trả người lao động (Lương)</t>
  </si>
  <si>
    <t>Phải trả khác (Quỹ thưởng Prize Pool)</t>
  </si>
  <si>
    <t>HĐ Tài chính</t>
  </si>
  <si>
    <t>Doanh thu chưa thực hiện (Gói năm)</t>
  </si>
  <si>
    <t>Vốn điều lệ / Vốn chủ sở hữu</t>
  </si>
  <si>
    <t>Doanh thu Platform (Gói dịch vụ)</t>
  </si>
  <si>
    <t>Doanh thu</t>
  </si>
  <si>
    <t>Doanh thu Media &amp; Tài trợ</t>
  </si>
  <si>
    <t>Doanh thu Arena (Vé giải đấu)</t>
  </si>
  <si>
    <t>Chi phí tài chính (Phí VNPay, Bank)</t>
  </si>
  <si>
    <t>Chi phí</t>
  </si>
  <si>
    <t>Giá vốn (Server, Vận hành giải đấu)</t>
  </si>
  <si>
    <t>Chi phí quản lý (Lương, MKT, VP)</t>
  </si>
  <si>
    <t>Thu nhập khác</t>
  </si>
  <si>
    <t>Chi phí khác</t>
  </si>
  <si>
    <t>Mã_Đối_Tác</t>
  </si>
  <si>
    <t>Tên_Đối_Tác</t>
  </si>
  <si>
    <t>Phân_Loại</t>
  </si>
  <si>
    <t>MST/Phone</t>
  </si>
  <si>
    <t>KH_001</t>
  </si>
  <si>
    <t>Khách hàng Vãng lai</t>
  </si>
  <si>
    <t>Khách hàng</t>
  </si>
  <si>
    <t>NCC_001</t>
  </si>
  <si>
    <t>iNet &amp; Cloudflare</t>
  </si>
  <si>
    <t>Nhà cung cấp</t>
  </si>
  <si>
    <t>NCC_002</t>
  </si>
  <si>
    <t>Viettel Post</t>
  </si>
  <si>
    <t>NCC_003</t>
  </si>
  <si>
    <t>Trần Thị Minh Tâm</t>
  </si>
  <si>
    <t>VCB: 1045193195</t>
  </si>
  <si>
    <t>NV_001</t>
  </si>
  <si>
    <t>Hoàng Bá Tùng (CEO)</t>
  </si>
  <si>
    <t>Nội bộ</t>
  </si>
  <si>
    <t>TCB: 8899869988 | VCB: 0511000428875</t>
  </si>
  <si>
    <t>BOHO</t>
  </si>
  <si>
    <t>CÔNG TY TNHH BOHO</t>
  </si>
  <si>
    <t>Mã_Dự_Án</t>
  </si>
  <si>
    <t>Tên_Mảng</t>
  </si>
  <si>
    <t>Trạng_Thái</t>
  </si>
  <si>
    <t>PLATFORM</t>
  </si>
  <si>
    <t>VCT Core Platform</t>
  </si>
  <si>
    <t>Active</t>
  </si>
  <si>
    <t>MEDIA</t>
  </si>
  <si>
    <t>VCT Media &amp; Production</t>
  </si>
  <si>
    <t>ARENA</t>
  </si>
  <si>
    <t>VCT Tournament Arena</t>
  </si>
  <si>
    <t>VODUONG</t>
  </si>
  <si>
    <t>CLB Tây Sơn Võ Đạo</t>
  </si>
  <si>
    <t>ID_GiaoDich</t>
  </si>
  <si>
    <t>Ngay_PhatSinh</t>
  </si>
  <si>
    <t>So_ChungTu</t>
  </si>
  <si>
    <t>Loai_ChungTu</t>
  </si>
  <si>
    <t>Dien_Giai</t>
  </si>
  <si>
    <t>Ma_DoiTac</t>
  </si>
  <si>
    <t>TK_No</t>
  </si>
  <si>
    <t>TK_Co</t>
  </si>
  <si>
    <t>GiaTri_TruocThue</t>
  </si>
  <si>
    <t>Thue_Suat</t>
  </si>
  <si>
    <t>Tien_Thue</t>
  </si>
  <si>
    <t>Tong_Tien</t>
  </si>
  <si>
    <t>Ma_DuAn</t>
  </si>
  <si>
    <t>Trang_Thai</t>
  </si>
  <si>
    <t>User_Stamp</t>
  </si>
  <si>
    <t>VCT-210303-OA0E</t>
  </si>
  <si>
    <t>Phiếu chi</t>
  </si>
  <si>
    <t>Lệ phí nộp hồ sơ ĐKKD</t>
  </si>
  <si>
    <t>Hoàn tất</t>
  </si>
  <si>
    <t>VCT-210321-ZZXJ</t>
  </si>
  <si>
    <t>Phí vận chuyển hồ sơ ĐKKD</t>
  </si>
  <si>
    <t>VCT-210323-TTNX</t>
  </si>
  <si>
    <t>Hóa đơn VAT</t>
  </si>
  <si>
    <t>Mua chữ ký số (Giá xuất HĐ)</t>
  </si>
  <si>
    <t>VCT-210323-7OVF</t>
  </si>
  <si>
    <t>Phiếu thu</t>
  </si>
  <si>
    <t>Chiết khấu đại lý chữ ký số</t>
  </si>
  <si>
    <t>VCT-210323-VXBU</t>
  </si>
  <si>
    <t>Mua tên miền</t>
  </si>
  <si>
    <t>VCT-210323-FWFH</t>
  </si>
  <si>
    <t>Khắc con dấu công ty</t>
  </si>
  <si>
    <t>VCT-210323-3EM2</t>
  </si>
  <si>
    <t>Phí vận chuyển con dấu công ty</t>
  </si>
  <si>
    <t>VCT-210323-27OZ</t>
  </si>
  <si>
    <t>Nạp tài khoản Viettel IDC</t>
  </si>
  <si>
    <t>VCT-210323-FDUL</t>
  </si>
  <si>
    <t>Sao kê NH</t>
  </si>
  <si>
    <t>CEO chuyển khoản góp vốn điều lệ</t>
  </si>
  <si>
    <t>VCT-260325-ZEEH</t>
  </si>
  <si>
    <t>Phí vận chuyển Hồ sơ chữ ký số</t>
  </si>
  <si>
    <t>VCT-260326-FGOT</t>
  </si>
  <si>
    <t>Thanh toán tiền thuê văn phòng tháng 03/2026 cho bà Trần Thị Minh Tâm</t>
  </si>
  <si>
    <t>VCT-260327-CCCD</t>
  </si>
  <si>
    <t>Chi phí tiếp khách (CÔNG TY TNHH BOHO)</t>
  </si>
  <si>
    <t>Jen AI</t>
  </si>
  <si>
    <t>Thang_Nam</t>
  </si>
  <si>
    <t>Ma_KichBan</t>
  </si>
  <si>
    <t>Ma_TK</t>
  </si>
  <si>
    <t>Ngan_Sach_DuKien</t>
  </si>
  <si>
    <t>Ghi_Chu</t>
  </si>
  <si>
    <t>Ma_TK_Bank</t>
  </si>
  <si>
    <t>So_Du_He_Thong</t>
  </si>
  <si>
    <t>So_Du_Thuc_Te</t>
  </si>
  <si>
    <t>Chenh_Lech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</si>
</sst>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 \₫"/>
    <numFmt numFmtId="166" formatCode="#,##0&quot;₫&quot;"/>
    <numFmt numFmtId="167" formatCode="#,##0\ [$đ-42A]"/>
  </numFmts>
  <fonts count="4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67C73"/>
        <bgColor rgb="FFE67C73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0" xfId="0" applyFont="1"/>
    <xf borderId="0" fillId="3" fontId="2" numFmtId="0" xfId="0" applyAlignment="1" applyFont="1">
      <alignment readingOrder="0" shrinkToFit="0" wrapText="1"/>
    </xf>
    <xf borderId="0" fillId="3" fontId="2" numFmtId="165" xfId="0" applyAlignment="1" applyFont="1" applyNumberFormat="1">
      <alignment readingOrder="0"/>
    </xf>
    <xf borderId="0" fillId="3" fontId="2" numFmtId="9" xfId="0" applyAlignment="1" applyFont="1" applyNumberFormat="1">
      <alignment readingOrder="0"/>
    </xf>
    <xf borderId="0" fillId="3" fontId="2" numFmtId="165" xfId="0" applyFont="1" applyNumberFormat="1"/>
    <xf borderId="0" fillId="4" fontId="2" numFmtId="0" xfId="0" applyAlignment="1" applyFill="1" applyFont="1">
      <alignment readingOrder="0"/>
    </xf>
    <xf borderId="0" fillId="4" fontId="2" numFmtId="164" xfId="0" applyAlignment="1" applyFont="1" applyNumberFormat="1">
      <alignment readingOrder="0"/>
    </xf>
    <xf borderId="0" fillId="4" fontId="2" numFmtId="0" xfId="0" applyFont="1"/>
    <xf borderId="0" fillId="4" fontId="2" numFmtId="0" xfId="0" applyAlignment="1" applyFont="1">
      <alignment readingOrder="0" shrinkToFit="0" wrapText="1"/>
    </xf>
    <xf borderId="0" fillId="4" fontId="2" numFmtId="165" xfId="0" applyAlignment="1" applyFont="1" applyNumberFormat="1">
      <alignment readingOrder="0"/>
    </xf>
    <xf borderId="0" fillId="4" fontId="2" numFmtId="9" xfId="0" applyAlignment="1" applyFont="1" applyNumberFormat="1">
      <alignment readingOrder="0"/>
    </xf>
    <xf borderId="0" fillId="4" fontId="2" numFmtId="165" xfId="0" applyFont="1" applyNumberFormat="1"/>
    <xf borderId="0" fillId="4" fontId="2" numFmtId="166" xfId="0" applyAlignment="1" applyFont="1" applyNumberFormat="1">
      <alignment readingOrder="0"/>
    </xf>
    <xf borderId="0" fillId="5" fontId="3" numFmtId="0" xfId="0" applyAlignment="1" applyFill="1" applyFont="1">
      <alignment horizontal="center" readingOrder="0" vertical="center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0" fontId="2" numFmtId="167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Setup_C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up_Contac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up_Projec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n_Ban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4" displayName="Account_Code_Definition" name="Account_Code_Definition" id="1">
  <tableColumns count="5">
    <tableColumn name="Mã_TK" id="1"/>
    <tableColumn name="Tên_Tài_Khoản" id="2"/>
    <tableColumn name="Nhóm_Cha" id="3"/>
    <tableColumn name="Loại_Dòng_Tiền" id="4"/>
    <tableColumn name="Số_Tài_Khoản" id="5"/>
  </tableColumns>
  <tableStyleInfo name="Setup_COA-style" showColumnStripes="0" showFirstColumn="1" showLastColumn="1" showRowStripes="1"/>
</table>
</file>

<file path=xl/tables/table2.xml><?xml version="1.0" encoding="utf-8"?>
<table xmlns="http://schemas.openxmlformats.org/spreadsheetml/2006/main" ref="A1:E7" displayName="Setup_Contact" name="Setup_Contact" id="2">
  <tableColumns count="5">
    <tableColumn name="Mã_Đối_Tác" id="1"/>
    <tableColumn name="Tên_Đối_Tác" id="2"/>
    <tableColumn name="Phân_Loại" id="3"/>
    <tableColumn name="Số_Tài_Khoản" id="4"/>
    <tableColumn name="MST/Phone" id="5"/>
  </tableColumns>
  <tableStyleInfo name="Setup_Contact-style" showColumnStripes="0" showFirstColumn="1" showLastColumn="1" showRowStripes="1"/>
</table>
</file>

<file path=xl/tables/table3.xml><?xml version="1.0" encoding="utf-8"?>
<table xmlns="http://schemas.openxmlformats.org/spreadsheetml/2006/main" ref="A1:C5" displayName="Bảng_2" name="Bảng_2" id="3">
  <tableColumns count="3">
    <tableColumn name="Mã_Dự_Án" id="1"/>
    <tableColumn name="Tên_Mảng" id="2"/>
    <tableColumn name="Trạng_Thái" id="3"/>
  </tableColumns>
  <tableStyleInfo name="Setup_Project-style" showColumnStripes="0" showFirstColumn="1" showLastColumn="1" showRowStripes="1"/>
</table>
</file>

<file path=xl/tables/table4.xml><?xml version="1.0" encoding="utf-8"?>
<table xmlns="http://schemas.openxmlformats.org/spreadsheetml/2006/main" ref="A1:E3" displayName="Recon_Bank" name="Recon_Bank" id="4">
  <tableColumns count="5">
    <tableColumn name="Ma_TK_Bank" id="1"/>
    <tableColumn name="So_Du_He_Thong" id="2"/>
    <tableColumn name="So_Du_Thuc_Te" id="3"/>
    <tableColumn name="Chenh_Lech" id="4"/>
    <tableColumn name="Trang_Thai" id="5"/>
  </tableColumns>
  <tableStyleInfo name="Recon_Ban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41.0"/>
    <col customWidth="1" min="3" max="3" width="16.88"/>
    <col customWidth="1" min="4" max="4" width="20.63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3">
        <v>111.0</v>
      </c>
      <c r="B2" s="4" t="s">
        <v>5</v>
      </c>
      <c r="C2" s="5" t="s">
        <v>6</v>
      </c>
      <c r="D2" s="5" t="s">
        <v>7</v>
      </c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2.5" customHeight="1">
      <c r="A3" s="3">
        <v>1121.0</v>
      </c>
      <c r="B3" s="4" t="s">
        <v>8</v>
      </c>
      <c r="C3" s="5" t="s">
        <v>6</v>
      </c>
      <c r="D3" s="5" t="s">
        <v>7</v>
      </c>
      <c r="E3" s="4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2.5" customHeight="1">
      <c r="A4" s="3">
        <v>1122.0</v>
      </c>
      <c r="B4" s="4" t="s">
        <v>10</v>
      </c>
      <c r="C4" s="5" t="s">
        <v>6</v>
      </c>
      <c r="D4" s="5" t="s">
        <v>7</v>
      </c>
      <c r="E4" s="4" t="s">
        <v>11</v>
      </c>
      <c r="F4" s="2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2.5" customHeight="1">
      <c r="A5" s="3">
        <v>1123.0</v>
      </c>
      <c r="B5" s="4" t="s">
        <v>12</v>
      </c>
      <c r="C5" s="5" t="s">
        <v>6</v>
      </c>
      <c r="D5" s="5" t="s">
        <v>7</v>
      </c>
      <c r="E5" s="4" t="s">
        <v>13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2.5" customHeight="1">
      <c r="A6" s="3">
        <v>1124.0</v>
      </c>
      <c r="B6" s="4" t="s">
        <v>14</v>
      </c>
      <c r="C6" s="5" t="s">
        <v>6</v>
      </c>
      <c r="D6" s="5" t="s">
        <v>7</v>
      </c>
      <c r="E6" s="4" t="s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2.5" customHeight="1">
      <c r="A7" s="3">
        <v>131.0</v>
      </c>
      <c r="B7" s="4" t="s">
        <v>16</v>
      </c>
      <c r="C7" s="5" t="s">
        <v>6</v>
      </c>
      <c r="D7" s="5" t="s">
        <v>7</v>
      </c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2.5" customHeight="1">
      <c r="A8" s="3">
        <v>141.0</v>
      </c>
      <c r="B8" s="4" t="s">
        <v>17</v>
      </c>
      <c r="C8" s="5" t="s">
        <v>6</v>
      </c>
      <c r="D8" s="5" t="s">
        <v>7</v>
      </c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2.5" customHeight="1">
      <c r="A9" s="3">
        <v>211.0</v>
      </c>
      <c r="B9" s="4" t="s">
        <v>18</v>
      </c>
      <c r="C9" s="5" t="s">
        <v>6</v>
      </c>
      <c r="D9" s="5" t="s">
        <v>19</v>
      </c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2.5" customHeight="1">
      <c r="A10" s="3">
        <v>242.0</v>
      </c>
      <c r="B10" s="4" t="s">
        <v>20</v>
      </c>
      <c r="C10" s="5" t="s">
        <v>6</v>
      </c>
      <c r="D10" s="5" t="s">
        <v>7</v>
      </c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2.5" customHeight="1">
      <c r="A11" s="3">
        <v>331.0</v>
      </c>
      <c r="B11" s="4" t="s">
        <v>21</v>
      </c>
      <c r="C11" s="5" t="s">
        <v>22</v>
      </c>
      <c r="D11" s="5" t="s">
        <v>7</v>
      </c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2.5" customHeight="1">
      <c r="A12" s="3">
        <v>333.0</v>
      </c>
      <c r="B12" s="4" t="s">
        <v>23</v>
      </c>
      <c r="C12" s="5" t="s">
        <v>22</v>
      </c>
      <c r="D12" s="5" t="s">
        <v>7</v>
      </c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2.5" customHeight="1">
      <c r="A13" s="3">
        <v>334.0</v>
      </c>
      <c r="B13" s="4" t="s">
        <v>24</v>
      </c>
      <c r="C13" s="5" t="s">
        <v>22</v>
      </c>
      <c r="D13" s="5" t="s">
        <v>7</v>
      </c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2.5" customHeight="1">
      <c r="A14" s="3">
        <v>338.0</v>
      </c>
      <c r="B14" s="4" t="s">
        <v>25</v>
      </c>
      <c r="C14" s="5" t="s">
        <v>22</v>
      </c>
      <c r="D14" s="5" t="s">
        <v>26</v>
      </c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2.5" customHeight="1">
      <c r="A15" s="3">
        <v>3387.0</v>
      </c>
      <c r="B15" s="4" t="s">
        <v>27</v>
      </c>
      <c r="C15" s="5" t="s">
        <v>22</v>
      </c>
      <c r="D15" s="5" t="s">
        <v>7</v>
      </c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2.5" customHeight="1">
      <c r="A16" s="3">
        <v>411.0</v>
      </c>
      <c r="B16" s="4" t="s">
        <v>28</v>
      </c>
      <c r="C16" s="5" t="s">
        <v>22</v>
      </c>
      <c r="D16" s="5" t="s">
        <v>26</v>
      </c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2.5" customHeight="1">
      <c r="A17" s="3">
        <v>5111.0</v>
      </c>
      <c r="B17" s="4" t="s">
        <v>29</v>
      </c>
      <c r="C17" s="5" t="s">
        <v>30</v>
      </c>
      <c r="D17" s="5" t="s">
        <v>7</v>
      </c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2.5" customHeight="1">
      <c r="A18" s="3">
        <v>5112.0</v>
      </c>
      <c r="B18" s="4" t="s">
        <v>31</v>
      </c>
      <c r="C18" s="5" t="s">
        <v>30</v>
      </c>
      <c r="D18" s="5" t="s">
        <v>7</v>
      </c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2.5" customHeight="1">
      <c r="A19" s="3">
        <v>5113.0</v>
      </c>
      <c r="B19" s="4" t="s">
        <v>32</v>
      </c>
      <c r="C19" s="5" t="s">
        <v>30</v>
      </c>
      <c r="D19" s="5" t="s">
        <v>7</v>
      </c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22.5" customHeight="1">
      <c r="A20" s="3">
        <v>615.0</v>
      </c>
      <c r="B20" s="4" t="s">
        <v>33</v>
      </c>
      <c r="C20" s="5" t="s">
        <v>34</v>
      </c>
      <c r="D20" s="5" t="s">
        <v>7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2.5" customHeight="1">
      <c r="A21" s="3">
        <v>632.0</v>
      </c>
      <c r="B21" s="4" t="s">
        <v>35</v>
      </c>
      <c r="C21" s="5" t="s">
        <v>34</v>
      </c>
      <c r="D21" s="5" t="s">
        <v>7</v>
      </c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2.5" customHeight="1">
      <c r="A22" s="3">
        <v>642.0</v>
      </c>
      <c r="B22" s="4" t="s">
        <v>36</v>
      </c>
      <c r="C22" s="5" t="s">
        <v>34</v>
      </c>
      <c r="D22" s="5" t="s">
        <v>7</v>
      </c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2.5" customHeight="1">
      <c r="A23" s="3">
        <v>711.0</v>
      </c>
      <c r="B23" s="4" t="s">
        <v>37</v>
      </c>
      <c r="C23" s="5" t="s">
        <v>30</v>
      </c>
      <c r="D23" s="5" t="s">
        <v>19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22.5" customHeight="1">
      <c r="A24" s="3">
        <v>811.0</v>
      </c>
      <c r="B24" s="4" t="s">
        <v>38</v>
      </c>
      <c r="C24" s="5" t="s">
        <v>34</v>
      </c>
      <c r="D24" s="5" t="s">
        <v>7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dataValidations>
    <dataValidation type="list" allowBlank="1" showDropDown="1" showErrorMessage="1" sqref="D2:D24">
      <formula1>"HĐ Kinh doanh,HĐ Đầu tư,HĐ Tài chính"</formula1>
    </dataValidation>
    <dataValidation type="custom" allowBlank="1" showDropDown="1" sqref="A2:A24">
      <formula1>AND(ISNUMBER(A2),(NOT(OR(NOT(ISERROR(DATEVALUE(A2))), AND(ISNUMBER(A2), LEFT(CELL("format", A2))="D")))))</formula1>
    </dataValidation>
    <dataValidation type="list" allowBlank="1" showDropDown="1" showErrorMessage="1" sqref="C2:C24">
      <formula1>"Tài sản,Nguồn vốn,Doanh thu,Chi phí"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9.75"/>
    <col customWidth="1" min="3" max="3" width="13.25"/>
    <col customWidth="1" min="4" max="4" width="31.0"/>
    <col customWidth="1" min="5" max="5" width="14.0"/>
  </cols>
  <sheetData>
    <row r="1" ht="22.5" customHeight="1">
      <c r="A1" s="1" t="s">
        <v>39</v>
      </c>
      <c r="B1" s="1" t="s">
        <v>40</v>
      </c>
      <c r="C1" s="1" t="s">
        <v>41</v>
      </c>
      <c r="D1" s="1" t="s">
        <v>4</v>
      </c>
      <c r="E1" s="1" t="s">
        <v>42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4" t="s">
        <v>43</v>
      </c>
      <c r="B2" s="4" t="s">
        <v>44</v>
      </c>
      <c r="C2" s="4" t="s">
        <v>45</v>
      </c>
      <c r="D2" s="7"/>
      <c r="E2" s="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2.5" customHeight="1">
      <c r="A3" s="4" t="s">
        <v>46</v>
      </c>
      <c r="B3" s="4" t="s">
        <v>47</v>
      </c>
      <c r="C3" s="4" t="s">
        <v>48</v>
      </c>
      <c r="D3" s="7"/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2.5" customHeight="1">
      <c r="A4" s="4" t="s">
        <v>49</v>
      </c>
      <c r="B4" s="4" t="s">
        <v>50</v>
      </c>
      <c r="C4" s="4" t="s">
        <v>48</v>
      </c>
      <c r="D4" s="7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2.5" customHeight="1">
      <c r="A5" s="4" t="s">
        <v>51</v>
      </c>
      <c r="B5" s="4" t="s">
        <v>52</v>
      </c>
      <c r="C5" s="4" t="s">
        <v>48</v>
      </c>
      <c r="D5" s="4" t="s">
        <v>53</v>
      </c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2.5" customHeight="1">
      <c r="A6" s="4" t="s">
        <v>54</v>
      </c>
      <c r="B6" s="4" t="s">
        <v>55</v>
      </c>
      <c r="C6" s="4" t="s">
        <v>56</v>
      </c>
      <c r="D6" s="4" t="s">
        <v>57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2.5" customHeight="1">
      <c r="A7" s="4" t="s">
        <v>58</v>
      </c>
      <c r="B7" s="4" t="s">
        <v>59</v>
      </c>
      <c r="C7" s="4" t="s">
        <v>48</v>
      </c>
      <c r="D7" s="4"/>
      <c r="E7" s="4">
        <v>3.502493964E9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9.75"/>
    <col customWidth="1" min="3" max="3" width="14.0"/>
  </cols>
  <sheetData>
    <row r="1" ht="22.5" customHeight="1">
      <c r="A1" s="1" t="s">
        <v>60</v>
      </c>
      <c r="B1" s="1" t="s">
        <v>61</v>
      </c>
      <c r="C1" s="1" t="s">
        <v>62</v>
      </c>
    </row>
    <row r="2" ht="22.5" customHeight="1">
      <c r="A2" s="4" t="s">
        <v>63</v>
      </c>
      <c r="B2" s="4" t="s">
        <v>64</v>
      </c>
      <c r="C2" s="4" t="s">
        <v>65</v>
      </c>
    </row>
    <row r="3" ht="22.5" customHeight="1">
      <c r="A3" s="4" t="s">
        <v>66</v>
      </c>
      <c r="B3" s="4" t="s">
        <v>67</v>
      </c>
      <c r="C3" s="4" t="s">
        <v>65</v>
      </c>
    </row>
    <row r="4" ht="22.5" customHeight="1">
      <c r="A4" s="4" t="s">
        <v>68</v>
      </c>
      <c r="B4" s="4" t="s">
        <v>69</v>
      </c>
      <c r="C4" s="4" t="s">
        <v>65</v>
      </c>
    </row>
    <row r="5" ht="22.5" customHeight="1">
      <c r="A5" s="4" t="s">
        <v>70</v>
      </c>
      <c r="B5" s="4" t="s">
        <v>71</v>
      </c>
      <c r="C5" s="4" t="s">
        <v>65</v>
      </c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9.88"/>
    <col customWidth="1" min="3" max="3" width="14.75"/>
    <col customWidth="1" min="4" max="4" width="19.5"/>
    <col customWidth="1" min="5" max="5" width="34.38"/>
    <col customWidth="1" min="6" max="6" width="17.0"/>
    <col customWidth="1" min="7" max="8" width="14.0"/>
    <col customWidth="1" min="9" max="9" width="21.75"/>
    <col customWidth="1" min="10" max="10" width="16.5"/>
    <col customWidth="1" min="11" max="11" width="16.38"/>
    <col customWidth="1" min="12" max="12" width="16.25"/>
    <col customWidth="1" min="13" max="13" width="13.5"/>
    <col customWidth="1" min="14" max="14" width="16.88"/>
    <col customWidth="1" min="15" max="15" width="14.25"/>
  </cols>
  <sheetData>
    <row r="1" ht="22.5" customHeight="1">
      <c r="A1" s="8" t="s">
        <v>72</v>
      </c>
      <c r="B1" s="8" t="s">
        <v>73</v>
      </c>
      <c r="C1" s="8" t="s">
        <v>74</v>
      </c>
      <c r="D1" s="8" t="s">
        <v>75</v>
      </c>
      <c r="E1" s="9" t="s">
        <v>76</v>
      </c>
      <c r="F1" s="8" t="s">
        <v>77</v>
      </c>
      <c r="G1" s="8" t="s">
        <v>78</v>
      </c>
      <c r="H1" s="8" t="s">
        <v>79</v>
      </c>
      <c r="I1" s="8" t="s">
        <v>80</v>
      </c>
      <c r="J1" s="8" t="s">
        <v>81</v>
      </c>
      <c r="K1" s="8" t="s">
        <v>82</v>
      </c>
      <c r="L1" s="8" t="s">
        <v>83</v>
      </c>
      <c r="M1" s="8" t="s">
        <v>84</v>
      </c>
      <c r="N1" s="8" t="s">
        <v>85</v>
      </c>
      <c r="O1" s="8" t="s">
        <v>86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0" t="s">
        <v>87</v>
      </c>
      <c r="B2" s="11">
        <v>44258.0</v>
      </c>
      <c r="C2" s="12"/>
      <c r="D2" s="10" t="s">
        <v>88</v>
      </c>
      <c r="E2" s="13" t="s">
        <v>89</v>
      </c>
      <c r="F2" s="10" t="s">
        <v>54</v>
      </c>
      <c r="G2" s="10">
        <v>642.0</v>
      </c>
      <c r="H2" s="10">
        <v>411.0</v>
      </c>
      <c r="I2" s="14">
        <v>101100.0</v>
      </c>
      <c r="J2" s="15">
        <v>0.0</v>
      </c>
      <c r="K2" s="16">
        <f t="shared" ref="K2:K12" si="1">I2*J2</f>
        <v>0</v>
      </c>
      <c r="L2" s="16">
        <f t="shared" ref="L2:L12" si="2">I2+K2</f>
        <v>101100</v>
      </c>
      <c r="M2" s="10" t="s">
        <v>63</v>
      </c>
      <c r="N2" s="10" t="s">
        <v>90</v>
      </c>
      <c r="O2" s="1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17" t="s">
        <v>91</v>
      </c>
      <c r="B3" s="18">
        <v>44276.0</v>
      </c>
      <c r="C3" s="19"/>
      <c r="D3" s="17" t="s">
        <v>88</v>
      </c>
      <c r="E3" s="20" t="s">
        <v>92</v>
      </c>
      <c r="F3" s="17" t="s">
        <v>54</v>
      </c>
      <c r="G3" s="17">
        <v>642.0</v>
      </c>
      <c r="H3" s="17">
        <v>411.0</v>
      </c>
      <c r="I3" s="21">
        <v>33000.0</v>
      </c>
      <c r="J3" s="22">
        <v>0.0</v>
      </c>
      <c r="K3" s="23">
        <f t="shared" si="1"/>
        <v>0</v>
      </c>
      <c r="L3" s="23">
        <f t="shared" si="2"/>
        <v>33000</v>
      </c>
      <c r="M3" s="17" t="s">
        <v>63</v>
      </c>
      <c r="N3" s="17" t="s">
        <v>90</v>
      </c>
      <c r="O3" s="19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10" t="s">
        <v>93</v>
      </c>
      <c r="B4" s="11">
        <v>44278.0</v>
      </c>
      <c r="C4" s="12"/>
      <c r="D4" s="10" t="s">
        <v>94</v>
      </c>
      <c r="E4" s="13" t="s">
        <v>95</v>
      </c>
      <c r="F4" s="10" t="s">
        <v>54</v>
      </c>
      <c r="G4" s="10">
        <v>242.0</v>
      </c>
      <c r="H4" s="10">
        <v>411.0</v>
      </c>
      <c r="I4" s="14">
        <v>1650000.0</v>
      </c>
      <c r="J4" s="15">
        <v>0.08</v>
      </c>
      <c r="K4" s="16">
        <f t="shared" si="1"/>
        <v>132000</v>
      </c>
      <c r="L4" s="16">
        <f t="shared" si="2"/>
        <v>1782000</v>
      </c>
      <c r="M4" s="10" t="s">
        <v>63</v>
      </c>
      <c r="N4" s="10" t="s">
        <v>90</v>
      </c>
      <c r="O4" s="1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17" t="s">
        <v>96</v>
      </c>
      <c r="B5" s="18">
        <v>44278.0</v>
      </c>
      <c r="C5" s="19"/>
      <c r="D5" s="17" t="s">
        <v>97</v>
      </c>
      <c r="E5" s="20" t="s">
        <v>98</v>
      </c>
      <c r="F5" s="17" t="s">
        <v>54</v>
      </c>
      <c r="G5" s="17">
        <v>411.0</v>
      </c>
      <c r="H5" s="17">
        <v>711.0</v>
      </c>
      <c r="I5" s="21">
        <v>200000.0</v>
      </c>
      <c r="J5" s="22">
        <v>0.0</v>
      </c>
      <c r="K5" s="23">
        <f t="shared" si="1"/>
        <v>0</v>
      </c>
      <c r="L5" s="23">
        <f t="shared" si="2"/>
        <v>200000</v>
      </c>
      <c r="M5" s="17" t="s">
        <v>63</v>
      </c>
      <c r="N5" s="17" t="s">
        <v>90</v>
      </c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10" t="s">
        <v>99</v>
      </c>
      <c r="B6" s="11">
        <v>44278.0</v>
      </c>
      <c r="C6" s="12"/>
      <c r="D6" s="10" t="s">
        <v>94</v>
      </c>
      <c r="E6" s="13" t="s">
        <v>100</v>
      </c>
      <c r="F6" s="10" t="s">
        <v>54</v>
      </c>
      <c r="G6" s="10">
        <v>242.0</v>
      </c>
      <c r="H6" s="10">
        <v>411.0</v>
      </c>
      <c r="I6" s="14">
        <v>450000.0</v>
      </c>
      <c r="J6" s="15">
        <v>0.0</v>
      </c>
      <c r="K6" s="16">
        <f t="shared" si="1"/>
        <v>0</v>
      </c>
      <c r="L6" s="16">
        <f t="shared" si="2"/>
        <v>450000</v>
      </c>
      <c r="M6" s="10" t="s">
        <v>63</v>
      </c>
      <c r="N6" s="10" t="s">
        <v>90</v>
      </c>
      <c r="O6" s="1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17" t="s">
        <v>101</v>
      </c>
      <c r="B7" s="18">
        <v>44278.0</v>
      </c>
      <c r="C7" s="19"/>
      <c r="D7" s="17" t="s">
        <v>94</v>
      </c>
      <c r="E7" s="20" t="s">
        <v>102</v>
      </c>
      <c r="F7" s="17" t="s">
        <v>54</v>
      </c>
      <c r="G7" s="17">
        <v>642.0</v>
      </c>
      <c r="H7" s="17">
        <v>411.0</v>
      </c>
      <c r="I7" s="21">
        <v>347222.0</v>
      </c>
      <c r="J7" s="22">
        <v>0.08</v>
      </c>
      <c r="K7" s="23">
        <f t="shared" si="1"/>
        <v>27777.76</v>
      </c>
      <c r="L7" s="23">
        <f t="shared" si="2"/>
        <v>374999.76</v>
      </c>
      <c r="M7" s="17" t="s">
        <v>63</v>
      </c>
      <c r="N7" s="17" t="s">
        <v>90</v>
      </c>
      <c r="O7" s="19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0" t="s">
        <v>103</v>
      </c>
      <c r="B8" s="11">
        <v>44278.0</v>
      </c>
      <c r="C8" s="12"/>
      <c r="D8" s="10" t="s">
        <v>88</v>
      </c>
      <c r="E8" s="13" t="s">
        <v>104</v>
      </c>
      <c r="F8" s="10" t="s">
        <v>54</v>
      </c>
      <c r="G8" s="10">
        <v>642.0</v>
      </c>
      <c r="H8" s="10">
        <v>411.0</v>
      </c>
      <c r="I8" s="14">
        <v>101000.0</v>
      </c>
      <c r="J8" s="15">
        <v>0.0</v>
      </c>
      <c r="K8" s="16">
        <f t="shared" si="1"/>
        <v>0</v>
      </c>
      <c r="L8" s="16">
        <f t="shared" si="2"/>
        <v>101000</v>
      </c>
      <c r="M8" s="10" t="s">
        <v>63</v>
      </c>
      <c r="N8" s="10" t="s">
        <v>90</v>
      </c>
      <c r="O8" s="1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17" t="s">
        <v>105</v>
      </c>
      <c r="B9" s="18">
        <v>44278.0</v>
      </c>
      <c r="C9" s="19"/>
      <c r="D9" s="17" t="s">
        <v>88</v>
      </c>
      <c r="E9" s="20" t="s">
        <v>106</v>
      </c>
      <c r="F9" s="17" t="s">
        <v>54</v>
      </c>
      <c r="G9" s="17">
        <v>632.0</v>
      </c>
      <c r="H9" s="17">
        <v>411.0</v>
      </c>
      <c r="I9" s="21">
        <v>50000.0</v>
      </c>
      <c r="J9" s="22">
        <v>0.0</v>
      </c>
      <c r="K9" s="23">
        <f t="shared" si="1"/>
        <v>0</v>
      </c>
      <c r="L9" s="23">
        <f t="shared" si="2"/>
        <v>50000</v>
      </c>
      <c r="M9" s="17" t="s">
        <v>63</v>
      </c>
      <c r="N9" s="17" t="s">
        <v>90</v>
      </c>
      <c r="O9" s="19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10" t="s">
        <v>107</v>
      </c>
      <c r="B10" s="11">
        <v>46105.0</v>
      </c>
      <c r="C10" s="12"/>
      <c r="D10" s="10" t="s">
        <v>108</v>
      </c>
      <c r="E10" s="13" t="s">
        <v>109</v>
      </c>
      <c r="F10" s="10" t="s">
        <v>54</v>
      </c>
      <c r="G10" s="10">
        <v>1124.0</v>
      </c>
      <c r="H10" s="10">
        <v>411.0</v>
      </c>
      <c r="I10" s="14">
        <v>1.0E7</v>
      </c>
      <c r="J10" s="15">
        <v>0.0</v>
      </c>
      <c r="K10" s="16">
        <f t="shared" si="1"/>
        <v>0</v>
      </c>
      <c r="L10" s="16">
        <f t="shared" si="2"/>
        <v>10000000</v>
      </c>
      <c r="M10" s="10" t="s">
        <v>63</v>
      </c>
      <c r="N10" s="10" t="s">
        <v>90</v>
      </c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17" t="s">
        <v>110</v>
      </c>
      <c r="B11" s="18">
        <v>46106.0</v>
      </c>
      <c r="C11" s="19"/>
      <c r="D11" s="17" t="s">
        <v>94</v>
      </c>
      <c r="E11" s="20" t="s">
        <v>111</v>
      </c>
      <c r="F11" s="17" t="s">
        <v>49</v>
      </c>
      <c r="G11" s="17">
        <v>642.0</v>
      </c>
      <c r="H11" s="17">
        <v>1121.0</v>
      </c>
      <c r="I11" s="21">
        <v>36900.0</v>
      </c>
      <c r="J11" s="22">
        <v>0.0</v>
      </c>
      <c r="K11" s="23">
        <f t="shared" si="1"/>
        <v>0</v>
      </c>
      <c r="L11" s="23">
        <f t="shared" si="2"/>
        <v>36900</v>
      </c>
      <c r="M11" s="17" t="s">
        <v>63</v>
      </c>
      <c r="N11" s="17" t="s">
        <v>90</v>
      </c>
      <c r="O11" s="19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10" t="s">
        <v>112</v>
      </c>
      <c r="B12" s="11">
        <v>46107.0</v>
      </c>
      <c r="C12" s="12"/>
      <c r="D12" s="10" t="s">
        <v>108</v>
      </c>
      <c r="E12" s="13" t="s">
        <v>113</v>
      </c>
      <c r="F12" s="10" t="s">
        <v>51</v>
      </c>
      <c r="G12" s="10">
        <v>642.0</v>
      </c>
      <c r="H12" s="10">
        <v>1121.0</v>
      </c>
      <c r="I12" s="14">
        <v>5000000.0</v>
      </c>
      <c r="J12" s="15">
        <v>0.0</v>
      </c>
      <c r="K12" s="16">
        <f t="shared" si="1"/>
        <v>0</v>
      </c>
      <c r="L12" s="16">
        <f t="shared" si="2"/>
        <v>5000000</v>
      </c>
      <c r="M12" s="10" t="s">
        <v>63</v>
      </c>
      <c r="N12" s="10" t="s">
        <v>90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17" t="s">
        <v>114</v>
      </c>
      <c r="B13" s="18">
        <v>46108.0</v>
      </c>
      <c r="C13" s="17">
        <v>778.0</v>
      </c>
      <c r="D13" s="17" t="s">
        <v>94</v>
      </c>
      <c r="E13" s="20" t="s">
        <v>115</v>
      </c>
      <c r="F13" s="17" t="s">
        <v>58</v>
      </c>
      <c r="G13" s="17">
        <v>642.0</v>
      </c>
      <c r="H13" s="17">
        <v>111.0</v>
      </c>
      <c r="I13" s="24">
        <v>240000.0</v>
      </c>
      <c r="J13" s="22">
        <v>0.08</v>
      </c>
      <c r="K13" s="21">
        <v>19200.0</v>
      </c>
      <c r="L13" s="21">
        <v>259200.0</v>
      </c>
      <c r="M13" s="17" t="s">
        <v>63</v>
      </c>
      <c r="N13" s="17" t="s">
        <v>90</v>
      </c>
      <c r="O13" s="17" t="s">
        <v>116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</sheetData>
  <autoFilter ref="$A$1:$O$12">
    <filterColumn colId="0">
      <filters>
        <filter val="VCT-210323-27OZ"/>
        <filter val="VCT-210323-FDUL"/>
        <filter val="VCT-260325-ZEEH"/>
        <filter val="VCT-210321-ZZXJ"/>
        <filter val="VCT-260326-FGOT"/>
        <filter val="VCT-210323-TTNX"/>
        <filter val="VCT-210323-FWFH"/>
        <filter val="VCT-210323-7OVF"/>
        <filter val="VCT-210303-OA0E"/>
        <filter val="VCT-210323-VXBU"/>
        <filter val="VCT-210323-3EM2"/>
      </filters>
    </filterColumn>
  </autoFilter>
  <dataValidations>
    <dataValidation type="list" allowBlank="1" sqref="J2:J13">
      <formula1>"0%,8%"</formula1>
    </dataValidation>
    <dataValidation type="list" allowBlank="1" sqref="D2:D13">
      <formula1>"Hóa đơn VAT,Phiếu thu,Phiếu chi,Sao kê NH,Khác"</formula1>
    </dataValidation>
    <dataValidation type="list" allowBlank="1" sqref="M2:M13">
      <formula1>Setup_Project!$A$2:$A$1000</formula1>
    </dataValidation>
    <dataValidation type="custom" allowBlank="1" showDropDown="1" sqref="B2:B13">
      <formula1>OR(NOT(ISERROR(DATEVALUE(B2))), AND(ISNUMBER(B2), LEFT(CELL("format", B2))="D"))</formula1>
    </dataValidation>
    <dataValidation type="list" allowBlank="1" showErrorMessage="1" sqref="N2:N13">
      <formula1>"Hoàn tất,Đang xử lý,Chờ duyệt"</formula1>
    </dataValidation>
    <dataValidation type="custom" allowBlank="1" showDropDown="1" sqref="K2:L13">
      <formula1>AND(ISNUMBER(K2),(NOT(OR(NOT(ISERROR(DATEVALUE(K2))), AND(ISNUMBER(K2), LEFT(CELL("format", K2))="D")))))</formula1>
    </dataValidation>
    <dataValidation type="list" allowBlank="1" sqref="F2:H13">
      <formula1>#REF!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5" t="s">
        <v>117</v>
      </c>
      <c r="B1" s="25" t="s">
        <v>118</v>
      </c>
      <c r="C1" s="25" t="s">
        <v>119</v>
      </c>
      <c r="D1" s="25" t="s">
        <v>84</v>
      </c>
      <c r="E1" s="25" t="s">
        <v>120</v>
      </c>
      <c r="F1" s="25" t="s">
        <v>121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AA0A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21.75"/>
    <col customWidth="1" min="3" max="3" width="17.25"/>
    <col customWidth="1" min="4" max="4" width="14.63"/>
    <col customWidth="1" min="5" max="5" width="14.0"/>
  </cols>
  <sheetData>
    <row r="1" ht="22.5" customHeight="1">
      <c r="A1" s="1" t="s">
        <v>122</v>
      </c>
      <c r="B1" s="26" t="s">
        <v>123</v>
      </c>
      <c r="C1" s="1" t="s">
        <v>124</v>
      </c>
      <c r="D1" s="1" t="s">
        <v>125</v>
      </c>
      <c r="E1" s="1" t="s">
        <v>85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4">
        <v>1121.0</v>
      </c>
      <c r="B2" s="27">
        <f>SUMIFS(Journal_Entries!L:L, Journal_Entries!G:G, A2) - SUMIFS(Journal_Entries!L:L, Journal_Entries!H:H, A2)</f>
        <v>-5036900</v>
      </c>
      <c r="C2" s="7"/>
      <c r="D2" s="7" t="str">
        <f t="shared" ref="D2:D3" si="1">IF(C2="", "", C2 - B2)</f>
        <v/>
      </c>
      <c r="E2" s="7" t="str">
        <f t="shared" ref="E2:E3" si="2">IF(C2="", "", IF(D2=0, "🟢 KHỚP", "🔴 LỆCH (" &amp; TEXT(D2, "#,##0") &amp; ")"))</f>
        <v/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4">
        <v>111.0</v>
      </c>
      <c r="B3" s="27">
        <f>SUMIFS(Journal_Entries!L:L, Journal_Entries!G:G, A3) - SUMIFS(Journal_Entries!L:L, Journal_Entries!H:H, A3)</f>
        <v>-259200</v>
      </c>
      <c r="C3" s="7"/>
      <c r="D3" s="7" t="str">
        <f t="shared" si="1"/>
        <v/>
      </c>
      <c r="E3" s="7" t="str">
        <f t="shared" si="2"/>
        <v/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DropDown="1" sqref="B2:B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